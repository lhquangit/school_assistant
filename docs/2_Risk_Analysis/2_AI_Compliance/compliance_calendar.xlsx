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caa4cedce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d1e8654f26c4d81"/>
    <x:sheet xmlns:r="http://schemas.openxmlformats.org/officeDocument/2006/relationships" name="Calendar" sheetId="2" r:id="R20a4541f78a340d7"/>
    <x:sheet xmlns:r="http://schemas.openxmlformats.org/officeDocument/2006/relationships" name="Checklist" sheetId="3" r:id="R55fea4e054b04f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7">
    <x:font>
      <x:sz val="11"/>
      <x:name val="Carlito"/>
    </x:font>
    <x:font>
      <x:b/>
      <x:sz val="18"/>
      <x:color theme="0"/>
      <x:name val="Carlito"/>
    </x:font>
    <x:font>
      <x:sz val="10"/>
      <x:color rgb="374151"/>
      <x:name val="Carlito"/>
    </x:font>
    <x:font>
      <x:b/>
      <x:sz val="11"/>
      <x:color rgb="1F2937"/>
      <x:name val="Carlito"/>
    </x:font>
    <x:font>
      <x:b/>
      <x:sz val="13"/>
      <x:color rgb="111827"/>
      <x:name val="Carlito"/>
    </x:font>
    <x:font>
      <x:b/>
      <x:sz val="11"/>
      <x:name val="Carlito"/>
    </x:font>
    <x:font>
      <x:b/>
      <x:sz val="11"/>
      <x:color theme="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4" tint="0.75"/>
      </x:patternFill>
    </x:fill>
    <x:fill>
      <x:patternFill patternType="solid">
        <x:fgColor theme="5" tint="0.76"/>
      </x:patternFill>
    </x:fill>
    <x:fill>
      <x:patternFill patternType="solid">
        <x:fgColor theme="0"/>
      </x:patternFill>
    </x:fill>
    <x:fill>
      <x:patternFill patternType="solid">
        <x:fgColor theme="6" tint="0.75"/>
      </x:patternFill>
    </x:fill>
  </x:fills>
  <x:borders count="21">
    <x:border/>
    <x:border>
      <x:left style="thin">
        <x:color rgb="D1D5DB"/>
      </x:left>
      <x:right style="thin">
        <x:color rgb="D1D5DB"/>
      </x:right>
      <x:top style="thin">
        <x:color rgb="D1D5DB"/>
      </x:top>
    </x:border>
    <x:border>
      <x:left style="thin">
        <x:color rgb="D1D5DB"/>
      </x:left>
      <x:right style="thin">
        <x:color rgb="D1D5DB"/>
      </x:right>
    </x:border>
    <x:border>
      <x:left style="thin">
        <x:color rgb="D1D5DB"/>
      </x:left>
      <x:right style="thin">
        <x:color rgb="D1D5DB"/>
      </x:right>
      <x:bottom style="thin">
        <x:color rgb="D1D5DB"/>
      </x:bottom>
    </x:border>
    <x:border>
      <x:left style="thin">
        <x:color rgb="D1D5DB"/>
      </x:left>
      <x:top style="thin">
        <x:color rgb="D1D5DB"/>
      </x:top>
    </x:border>
    <x:border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left style="thin">
        <x:color rgb="9CA3AF"/>
      </x:left>
      <x:top style="thin">
        <x:color rgb="9CA3AF"/>
      </x:top>
      <x:bottom style="thin">
        <x:color rgb="9CA3AF"/>
      </x:bottom>
    </x:border>
    <x:border>
      <x:top style="thin">
        <x:color rgb="9CA3AF"/>
      </x:top>
      <x:bottom style="thin">
        <x:color rgb="9CA3AF"/>
      </x:bottom>
    </x:border>
    <x:border>
      <x:right style="thin">
        <x:color rgb="9CA3AF"/>
      </x:right>
      <x:top style="thin">
        <x:color rgb="9CA3AF"/>
      </x:top>
      <x:bottom style="thin">
        <x:color rgb="9CA3AF"/>
      </x:bottom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2" xfId="0" applyNumberFormat="1" applyFont="1" applyFill="1" applyBorder="1"/>
    <x:xf numFmtId="0" fontId="6" fillId="2" borderId="13" xfId="0" applyNumberFormat="1" applyFont="1" applyFill="1" applyBorder="1"/>
    <x:xf numFmtId="0" fontId="6" fillId="2" borderId="14" xfId="0" applyNumberFormat="1" applyFont="1" applyFill="1" applyBorder="1"/>
    <x:xf numFmtId="0" fontId="6" fillId="2" borderId="12" xfId="0" applyNumberFormat="1" applyFont="1" applyFill="1" applyBorder="1" applyAlignment="1">
      <x:alignment horizontal="center"/>
    </x:xf>
    <x:xf numFmtId="0" fontId="6" fillId="2" borderId="13" xfId="0" applyNumberFormat="1" applyFont="1" applyFill="1" applyBorder="1" applyAlignment="1">
      <x:alignment horizontal="center"/>
    </x:xf>
    <x:xf numFmtId="0" fontId="6" fillId="2" borderId="14" xfId="0" applyNumberFormat="1" applyFont="1" applyFill="1" applyBorder="1" applyAlignment="1">
      <x:alignment horizontal="center"/>
    </x:xf>
    <x:xf numFmtId="0" fontId="6" fillId="2" borderId="12" xfId="0" applyNumberFormat="1" applyFont="1" applyFill="1" applyBorder="1" applyAlignment="1">
      <x:alignment horizontal="center" vertical="center"/>
    </x:xf>
    <x:xf numFmtId="0" fontId="6" fillId="2" borderId="13" xfId="0" applyNumberFormat="1" applyFont="1" applyFill="1" applyBorder="1" applyAlignment="1">
      <x:alignment horizontal="center" vertical="center"/>
    </x:xf>
    <x:xf numFmtId="0" fontId="6" fillId="2" borderId="14" xfId="0" applyNumberFormat="1" applyFont="1" applyFill="1" applyBorder="1" applyAlignment="1">
      <x:alignment horizontal="center" vertical="center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6" fillId="2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21429ba3e470f" /><Relationship Type="http://schemas.openxmlformats.org/officeDocument/2006/relationships/theme" Target="/xl/theme/theme1.xml" Id="R3f9877ce6e2a42f5" /><Relationship Type="http://schemas.openxmlformats.org/officeDocument/2006/relationships/sharedStrings" Target="/xl/sharedStrings.xml" Id="Rbf70c661c5044dbd" /><Relationship Type="http://schemas.openxmlformats.org/officeDocument/2006/relationships/worksheet" Target="/xl/worksheets/sheet1.xml" Id="R8d1e8654f26c4d81" /><Relationship Type="http://schemas.openxmlformats.org/officeDocument/2006/relationships/worksheet" Target="/xl/worksheets/sheet2.xml" Id="R20a4541f78a340d7" /><Relationship Type="http://schemas.openxmlformats.org/officeDocument/2006/relationships/worksheet" Target="/xl/worksheets/sheet3.xml" Id="R55fea4e054b04f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4da8079f9249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Days to key milestones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Days remaining</c:v>
          </c:tx>
          <c:cat>
            <c:strRef>
              <c:f>'Dashboard'!$O$21:$O$25</c:f>
              <c:strCache>
                <c:ptCount val="0"/>
              </c:strCache>
            </c:strRef>
          </c:cat>
          <c:val>
            <c:numRef>
              <c:f>'Dashboard'!$P$21:$P$25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D1D5DB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59055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4da8079f924991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Table1" displayName="Table1" ref="A1:J6" headerRowCount="1">
  <x:tableColumns count="10">
    <x:tableColumn id="1" name="Scope"/>
    <x:tableColumn id="2" name="Milestone"/>
    <x:tableColumn id="3" name="Date"/>
    <x:tableColumn id="4" name="Legal basis"/>
    <x:tableColumn id="5" name="Days remaining"/>
    <x:tableColumn id="6" name="Status"/>
    <x:tableColumn id="7" name="Founder action"/>
    <x:tableColumn id="8" name="Evidence / file"/>
    <x:tableColumn id="9" name="Priority"/>
    <x:tableColumn id="10" name="Owner"/>
  </x:tableColumns>
  <x:tableStyleInfo name="TableStyleMedium2" showRowStripes="1"/>
</x:table>
</file>

<file path=xl/tables/table2.xml><?xml version="1.0" encoding="utf-8"?>
<x:table xmlns:x="http://schemas.openxmlformats.org/spreadsheetml/2006/main" id="2" name="Table1" displayName="Table1" ref="A1:H16" headerRowCount="1">
  <x:tableColumns count="8">
    <x:tableColumn id="1" name="Week"/>
    <x:tableColumn id="2" name="Theme"/>
    <x:tableColumn id="3" name="Task"/>
    <x:tableColumn id="4" name="Due date"/>
    <x:tableColumn id="5" name="Status"/>
    <x:tableColumn id="6" name="Priority"/>
    <x:tableColumn id="7" name="Evidence / target file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ba3c9e18c2f48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ff2c0072e042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c9159126734aa9" /></Relationships>
</file>

<file path=xl/worksheets/sheet1.xml><?xml version="1.0" encoding="utf-8"?>
<x:worksheet xmlns:x="http://schemas.openxmlformats.org/spreadsheetml/2006/main">
  <x:sheetFormatPr defaultRowHeight="15"/>
  <x:cols>
    <x:col min="1" max="1" width="21.469999313354492" hidden="0" customWidth="1"/>
    <x:col min="2" max="2" width="14.109999656677246" hidden="0" customWidth="1"/>
    <x:col min="3" max="3" width="17.790000915527344" hidden="0" customWidth="1"/>
    <x:col min="4" max="4" width="12.880000114440918" hidden="0" customWidth="1"/>
    <x:col min="5" max="5" width="12.880000114440918" hidden="0" customWidth="1"/>
    <x:col min="6" max="6" width="31.290000915527344" hidden="0" customWidth="1"/>
    <x:col min="7" max="7" width="22.700000762939453" hidden="0" customWidth="1"/>
    <x:col min="8" max="8" width="10.670000076293945" hidden="0" customWidth="1"/>
    <x:col min="9" max="9" width="10.670000076293945" hidden="0" customWidth="1"/>
    <x:col min="10" max="10" width="10.670000076293945" hidden="0" customWidth="1"/>
    <x:col min="11" max="11" width="10.670000076293945" hidden="0" customWidth="1"/>
    <x:col min="12" max="12" width="10.670000076293945" hidden="0" customWidth="1"/>
    <x:col min="13" max="13" width="10.670000076293945" hidden="0" customWidth="1"/>
    <x:col min="14" max="14" width="10.670000076293945" hidden="0" customWidth="1"/>
  </x:cols>
  <x:sheetData>
    <x:row r="1" ht="25.5" customHeight="1">
      <x:c r="A1" s="4" t="str">
        <x:v>School Assistant — Compliance Calendar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.5" customHeight="1">
      <x:c r="A2" s="7" t="str">
        <x:v>Key dates, risk watchpoints, and a 30-day founder action checklist.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0" t="str">
        <x:v>Hôm nay</x:v>
      </x:c>
      <x:c r="B4" s="24" t="n">
        <x:f>TODAY()</x:f>
        <x:v>46151</x:v>
      </x:c>
      <x:c r="D4" s="57" t="str">
        <x:v>Trọng tâm tuần này</x:v>
      </x:c>
      <x:c r="E4" s="60" t="str">
        <x:v>DPIA / CTIA + consent pack + sửa claim public</x:v>
      </x:c>
      <x:c r="F4" s="60" t="str"/>
      <x:c r="G4" s="61" t="str"/>
    </x:row>
    <x:row r="5">
      <x:c r="A5" s="11" t="str">
        <x:v>Mốc quá hạn</x:v>
      </x:c>
      <x:c r="B5" s="25" t="n">
        <x:f>COUNTIF(Calendar!F2:F6,"Overdue")</x:f>
        <x:v>2</x:v>
      </x:c>
      <x:c r="D5" s="58" t="str">
        <x:v>Nguồn chính</x:v>
      </x:c>
      <x:c r="E5" s="62" t="str">
        <x:v>territorial_scope / document_trail / audit_v2</x:v>
      </x:c>
      <x:c r="F5" s="62" t="str"/>
      <x:c r="G5" s="63" t="str"/>
    </x:row>
    <x:row r="6">
      <x:c r="A6" s="11" t="str">
        <x:v>Mốc trong 120 ngày</x:v>
      </x:c>
      <x:c r="B6" s="25" t="n">
        <x:f>COUNTIF(Calendar!F2:F6,"Next 30 days")+COUNTIF(Calendar!F2:F6,"Next 120 days")</x:f>
        <x:v>1</x:v>
      </x:c>
      <x:c r="D6" s="58" t="str">
        <x:v>Phạm vi luật</x:v>
      </x:c>
      <x:c r="E6" s="62" t="str">
        <x:v>PDPL / Luật AI VN / BLHS 198 / EU AI Act watch</x:v>
      </x:c>
      <x:c r="F6" s="62" t="str"/>
      <x:c r="G6" s="63" t="str"/>
    </x:row>
    <x:row r="7">
      <x:c r="A7" s="12" t="str">
        <x:v>Việc mở / tuần này</x:v>
      </x:c>
      <x:c r="B7" s="26" t="n">
        <x:f>COUNTIF(Checklist!E2:E20,"Not started")+COUNTIF(Checklist!E2:E20,"In progress")</x:f>
        <x:v>14</x:v>
      </x:c>
      <x:c r="D7" s="59" t="str">
        <x:v>Ghi chú</x:v>
      </x:c>
      <x:c r="E7" s="64" t="str">
        <x:v>Workbook generated on 09/05/2026</x:v>
      </x:c>
      <x:c r="F7" s="64" t="str"/>
      <x:c r="G7" s="65" t="str"/>
    </x:row>
    <x:row r="10">
      <x:c r="A10" s="73" t="str">
        <x:v>Milestone</x:v>
      </x:c>
      <x:c r="B10" s="74" t="str">
        <x:v>Date</x:v>
      </x:c>
      <x:c r="C10" s="74" t="str">
        <x:v>Framework</x:v>
      </x:c>
      <x:c r="D10" s="74" t="str">
        <x:v>Days remaining</x:v>
      </x:c>
      <x:c r="E10" s="74" t="str">
        <x:v>Status</x:v>
      </x:c>
      <x:c r="F10" s="75" t="str">
        <x:v>Founder action</x:v>
      </x:c>
    </x:row>
    <x:row r="11">
      <x:c r="A11" s="45" t="str">
        <x:f>Calendar!B2</x:f>
        <x:v>PDPL effective</x:v>
      </x:c>
      <x:c r="B11" s="76" t="n">
        <x:f>Calendar!C2</x:f>
        <x:v>46023</x:v>
      </x:c>
      <x:c r="C11" s="46" t="str">
        <x:f>Calendar!D2</x:f>
        <x:v>Luật BVDLCN 91/2025/QH15</x:v>
      </x:c>
      <x:c r="D11" s="79" t="n">
        <x:f>Calendar!E2</x:f>
        <x:v>-128</x:v>
      </x:c>
      <x:c r="E11" s="82" t="str">
        <x:f>Calendar!F2</x:f>
        <x:v>Overdue</x:v>
      </x:c>
      <x:c r="F11" s="47" t="str">
        <x:f>Calendar!G2</x:f>
        <x:v>Close DPIA / CTIA, consent, deletion and retention gaps before live pilot</x:v>
      </x:c>
    </x:row>
    <x:row r="12">
      <x:c r="A12" s="48" t="str">
        <x:f>Calendar!B3</x:f>
        <x:v>AI Law effective</x:v>
      </x:c>
      <x:c r="B12" s="77" t="n">
        <x:f>Calendar!C3</x:f>
        <x:v>46082</x:v>
      </x:c>
      <x:c r="C12" s="49" t="str">
        <x:f>Calendar!D3</x:f>
        <x:v>Luật Trí tuệ nhân tạo 2025</x:v>
      </x:c>
      <x:c r="D12" s="80" t="n">
        <x:f>Calendar!E3</x:f>
        <x:v>-69</x:v>
      </x:c>
      <x:c r="E12" s="83" t="str">
        <x:f>Calendar!F3</x:f>
        <x:v>Overdue</x:v>
      </x:c>
      <x:c r="F12" s="50" t="str">
        <x:f>Calendar!G3</x:f>
        <x:v>Lock high-risk classification, oversight logs, fallback controls and incident owner</x:v>
      </x:c>
    </x:row>
    <x:row r="13">
      <x:c r="A13" s="48" t="str">
        <x:f>Calendar!B4</x:f>
        <x:v>EU AI Act high-risk applicability</x:v>
      </x:c>
      <x:c r="B13" s="77" t="n">
        <x:f>Calendar!C4</x:f>
        <x:v>46236</x:v>
      </x:c>
      <x:c r="C13" s="49" t="str">
        <x:f>Calendar!D4</x:f>
        <x:v>Regulation (EU) 2024/1689</x:v>
      </x:c>
      <x:c r="D13" s="80" t="n">
        <x:f>Calendar!E4</x:f>
        <x:v>85</x:v>
      </x:c>
      <x:c r="E13" s="83" t="str">
        <x:f>Calendar!F4</x:f>
        <x:v>Next 120 days</x:v>
      </x:c>
      <x:c r="F13" s="50" t="str">
        <x:f>Calendar!G4</x:f>
        <x:v>Keep this as a watch item unless School Assistant gets EU users or EU go-to-market</x:v>
      </x:c>
    </x:row>
    <x:row r="14">
      <x:c r="A14" s="48" t="str">
        <x:f>Calendar!B5</x:f>
        <x:v>Generic checklist milestone</x:v>
      </x:c>
      <x:c r="B14" s="77" t="n">
        <x:f>Calendar!C5</x:f>
        <x:v>46447</x:v>
      </x:c>
      <x:c r="C14" s="49" t="str">
        <x:f>Calendar!D5</x:f>
        <x:v>Day 22 template milestone</x:v>
      </x:c>
      <x:c r="D14" s="80" t="n">
        <x:f>Calendar!E5</x:f>
        <x:v>296</x:v>
      </x:c>
      <x:c r="E14" s="83" t="str">
        <x:f>Calendar!F5</x:f>
        <x:v>On watch</x:v>
      </x:c>
      <x:c r="F14" s="50" t="str">
        <x:f>Calendar!G5</x:f>
        <x:v>Use as internal review checkpoint; this is not the School Assistant-specific education deadline</x:v>
      </x:c>
    </x:row>
    <x:row r="15">
      <x:c r="A15" s="51" t="str">
        <x:f>Calendar!B6</x:f>
        <x:v>Education grace-period watch date</x:v>
      </x:c>
      <x:c r="B15" s="78" t="n">
        <x:f>Calendar!C6</x:f>
        <x:v>46631</x:v>
      </x:c>
      <x:c r="C15" s="52" t="str">
        <x:f>Calendar!D6</x:f>
        <x:v>Day 22 note for education (18-month watch)</x:v>
      </x:c>
      <x:c r="D15" s="81" t="n">
        <x:f>Calendar!E6</x:f>
        <x:v>480</x:v>
      </x:c>
      <x:c r="E15" s="84" t="str">
        <x:f>Calendar!F6</x:f>
        <x:v>On watch</x:v>
      </x:c>
      <x:c r="F15" s="53" t="str">
        <x:f>Calendar!G6</x:f>
        <x:v>Review full high-risk education compliance pack well before this date</x:v>
      </x:c>
    </x:row>
    <x:row r="20">
      <x:c r="O20" s="91" t="str">
        <x:v>Milestone</x:v>
      </x:c>
      <x:c r="P20" s="92" t="str">
        <x:v>Days remaining</x:v>
      </x:c>
    </x:row>
    <x:row r="21">
      <x:c r="O21" s="93" t="str">
        <x:f>Calendar!B2</x:f>
        <x:v>PDPL effective</x:v>
      </x:c>
      <x:c r="P21" s="94" t="n">
        <x:f>Calendar!E2</x:f>
        <x:v>-128</x:v>
      </x:c>
    </x:row>
    <x:row r="22">
      <x:c r="O22" s="93" t="str">
        <x:f>Calendar!B3</x:f>
        <x:v>AI Law effective</x:v>
      </x:c>
      <x:c r="P22" s="94" t="n">
        <x:f>Calendar!E3</x:f>
        <x:v>-69</x:v>
      </x:c>
    </x:row>
    <x:row r="23">
      <x:c r="O23" s="93" t="str">
        <x:f>Calendar!B4</x:f>
        <x:v>EU AI Act high-risk applicability</x:v>
      </x:c>
      <x:c r="P23" s="94" t="n">
        <x:f>Calendar!E4</x:f>
        <x:v>85</x:v>
      </x:c>
    </x:row>
    <x:row r="24">
      <x:c r="O24" s="93" t="str">
        <x:f>Calendar!B5</x:f>
        <x:v>Generic checklist milestone</x:v>
      </x:c>
      <x:c r="P24" s="94" t="n">
        <x:f>Calendar!E5</x:f>
        <x:v>296</x:v>
      </x:c>
    </x:row>
    <x:row r="25">
      <x:c r="O25" s="95" t="str">
        <x:f>Calendar!B6</x:f>
        <x:v>Education grace-period watch date</x:v>
      </x:c>
      <x:c r="P25" s="96" t="n">
        <x:f>Calendar!E6</x:f>
        <x:v>480</x:v>
      </x:c>
    </x:row>
  </x:sheetData>
  <x:pageMargins left="0.7" right="0.7" top="0.75" bottom="0.75" header="0.3" footer="0.3"/>
  <x:drawing xmlns:r="http://schemas.openxmlformats.org/officeDocument/2006/relationships" r:id="R5ba3c9e18c2f4831"/>
</x:worksheet>
</file>

<file path=xl/worksheets/sheet2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25.149999618530273" hidden="0" customWidth="1"/>
    <x:col min="3" max="3" width="11.039999961853027" hidden="0" customWidth="1"/>
    <x:col min="4" max="4" width="21.469999313354492" hidden="0" customWidth="1"/>
    <x:col min="5" max="5" width="11.039999961853027" hidden="0" customWidth="1"/>
    <x:col min="6" max="6" width="14.109999656677246" hidden="0" customWidth="1"/>
    <x:col min="7" max="7" width="34.970001220703125" hidden="0" customWidth="1"/>
    <x:col min="8" max="8" width="27.610000610351562" hidden="0" customWidth="1"/>
    <x:col min="9" max="9" width="10.430000305175781" hidden="0" customWidth="1"/>
    <x:col min="10" max="10" width="14.109999656677246" hidden="0" customWidth="1"/>
  </x:cols>
  <x:sheetData>
    <x:row r="1">
      <x:c r="A1" s="100" t="str">
        <x:v>Scope</x:v>
      </x:c>
      <x:c r="B1" s="101" t="str">
        <x:v>Milestone</x:v>
      </x:c>
      <x:c r="C1" s="101" t="str">
        <x:v>Date</x:v>
      </x:c>
      <x:c r="D1" s="101" t="str">
        <x:v>Legal basis</x:v>
      </x:c>
      <x:c r="E1" s="101" t="str">
        <x:v>Days remaining</x:v>
      </x:c>
      <x:c r="F1" s="101" t="str">
        <x:v>Status</x:v>
      </x:c>
      <x:c r="G1" s="101" t="str">
        <x:v>Founder action</x:v>
      </x:c>
      <x:c r="H1" s="101" t="str">
        <x:v>Evidence / file</x:v>
      </x:c>
      <x:c r="I1" s="101" t="str">
        <x:v>Priority</x:v>
      </x:c>
      <x:c r="J1" s="102" t="str">
        <x:v>Owner</x:v>
      </x:c>
    </x:row>
    <x:row r="2" ht="31.5" customHeight="1">
      <x:c r="A2" s="48" t="str">
        <x:v>Vietnam</x:v>
      </x:c>
      <x:c r="B2" s="49" t="str">
        <x:v>PDPL effective</x:v>
      </x:c>
      <x:c r="C2" s="77" t="n">
        <x:v>46023</x:v>
      </x:c>
      <x:c r="D2" s="49" t="str">
        <x:v>Luật BVDLCN 91/2025/QH15</x:v>
      </x:c>
      <x:c r="E2" s="80" t="n">
        <x:f>C2-TODAY()</x:f>
        <x:v>-128</x:v>
      </x:c>
      <x:c r="F2" s="49" t="str">
        <x:f>IF(E2&lt;0,"Overdue",IF(E2&lt;=30,"Next 30 days",IF(E2&lt;=120,"Next 120 days","On watch")))</x:f>
        <x:v>Overdue</x:v>
      </x:c>
      <x:c r="G2" s="49" t="str">
        <x:v>Close DPIA / CTIA, consent, deletion and retention gaps before live pilot</x:v>
      </x:c>
      <x:c r="H2" s="49" t="str">
        <x:v>2_territorial_scope.md; 3_document_trail.md</x:v>
      </x:c>
      <x:c r="I2" s="49" t="str">
        <x:v>Critical</x:v>
      </x:c>
      <x:c r="J2" s="50" t="str">
        <x:v>Founder + Product</x:v>
      </x:c>
    </x:row>
    <x:row r="3" ht="31.5" customHeight="1">
      <x:c r="A3" s="48" t="str">
        <x:v>Vietnam</x:v>
      </x:c>
      <x:c r="B3" s="49" t="str">
        <x:v>AI Law effective</x:v>
      </x:c>
      <x:c r="C3" s="77" t="n">
        <x:v>46082</x:v>
      </x:c>
      <x:c r="D3" s="49" t="str">
        <x:v>Luật Trí tuệ nhân tạo 2025</x:v>
      </x:c>
      <x:c r="E3" s="80" t="n">
        <x:f>C3-TODAY()</x:f>
        <x:v>-69</x:v>
      </x:c>
      <x:c r="F3" s="49" t="str">
        <x:f>IF(E3&lt;0,"Overdue",IF(E3&lt;=30,"Next 30 days",IF(E3&lt;=120,"Next 120 days","On watch")))</x:f>
        <x:v>Overdue</x:v>
      </x:c>
      <x:c r="G3" s="49" t="str">
        <x:v>Lock high-risk classification, oversight logs, fallback controls and incident owner</x:v>
      </x:c>
      <x:c r="H3" s="49" t="str">
        <x:v>2_territorial_scope.md; compliance_audit_v2.md</x:v>
      </x:c>
      <x:c r="I3" s="49" t="str">
        <x:v>Critical</x:v>
      </x:c>
      <x:c r="J3" s="50" t="str">
        <x:v>Founder + Tech</x:v>
      </x:c>
    </x:row>
    <x:row r="4" ht="31.5" customHeight="1">
      <x:c r="A4" s="48" t="str">
        <x:v>EU</x:v>
      </x:c>
      <x:c r="B4" s="49" t="str">
        <x:v>EU AI Act high-risk applicability</x:v>
      </x:c>
      <x:c r="C4" s="77" t="n">
        <x:v>46236</x:v>
      </x:c>
      <x:c r="D4" s="49" t="str">
        <x:v>Regulation (EU) 2024/1689</x:v>
      </x:c>
      <x:c r="E4" s="80" t="n">
        <x:f>C4-TODAY()</x:f>
        <x:v>85</x:v>
      </x:c>
      <x:c r="F4" s="49" t="str">
        <x:f>IF(E4&lt;0,"Overdue",IF(E4&lt;=30,"Next 30 days",IF(E4&lt;=120,"Next 120 days","On watch")))</x:f>
        <x:v>Next 120 days</x:v>
      </x:c>
      <x:c r="G4" s="49" t="str">
        <x:v>Keep this as a watch item unless School Assistant gets EU users or EU go-to-market</x:v>
      </x:c>
      <x:c r="H4" s="49" t="str">
        <x:v>2_territorial_scope.md</x:v>
      </x:c>
      <x:c r="I4" s="49" t="str">
        <x:v>Medium</x:v>
      </x:c>
      <x:c r="J4" s="50" t="str">
        <x:v>Founder</x:v>
      </x:c>
    </x:row>
    <x:row r="5" ht="31.5" customHeight="1">
      <x:c r="A5" s="48" t="str">
        <x:v>Workshop template</x:v>
      </x:c>
      <x:c r="B5" s="49" t="str">
        <x:v>Generic checklist milestone</x:v>
      </x:c>
      <x:c r="C5" s="77" t="n">
        <x:v>46447</x:v>
      </x:c>
      <x:c r="D5" s="49" t="str">
        <x:v>Day 22 template milestone</x:v>
      </x:c>
      <x:c r="E5" s="80" t="n">
        <x:f>C5-TODAY()</x:f>
        <x:v>296</x:v>
      </x:c>
      <x:c r="F5" s="49" t="str">
        <x:f>IF(E5&lt;0,"Overdue",IF(E5&lt;=30,"Next 30 days",IF(E5&lt;=120,"Next 120 days","On watch")))</x:f>
        <x:v>On watch</x:v>
      </x:c>
      <x:c r="G5" s="49" t="str">
        <x:v>Use as internal review checkpoint; this is not the School Assistant-specific education deadline</x:v>
      </x:c>
      <x:c r="H5" s="49" t="str">
        <x:v>Day22-AI-Product-Handbook.md</x:v>
      </x:c>
      <x:c r="I5" s="49" t="str">
        <x:v>Low</x:v>
      </x:c>
      <x:c r="J5" s="50" t="str">
        <x:v>Founder</x:v>
      </x:c>
    </x:row>
    <x:row r="6" ht="31.5" customHeight="1">
      <x:c r="A6" s="51" t="str">
        <x:v>School Assistant note</x:v>
      </x:c>
      <x:c r="B6" s="52" t="str">
        <x:v>Education grace-period watch date</x:v>
      </x:c>
      <x:c r="C6" s="78" t="n">
        <x:v>46631</x:v>
      </x:c>
      <x:c r="D6" s="52" t="str">
        <x:v>Day 22 note for education (18-month watch)</x:v>
      </x:c>
      <x:c r="E6" s="81" t="n">
        <x:f>C6-TODAY()</x:f>
        <x:v>480</x:v>
      </x:c>
      <x:c r="F6" s="52" t="str">
        <x:f>IF(E6&lt;0,"Overdue",IF(E6&lt;=30,"Next 30 days",IF(E6&lt;=120,"Next 120 days","On watch")))</x:f>
        <x:v>On watch</x:v>
      </x:c>
      <x:c r="G6" s="52" t="str">
        <x:v>Review full high-risk education compliance pack well before this date</x:v>
      </x:c>
      <x:c r="H6" s="52" t="str">
        <x:v>2_territorial_scope.md</x:v>
      </x:c>
      <x:c r="I6" s="52" t="str">
        <x:v>High</x:v>
      </x:c>
      <x:c r="J6" s="53" t="str">
        <x:v>Founder + Legal</x:v>
      </x:c>
    </x:row>
  </x:sheetData>
  <x:pageMargins left="0.7" right="0.7" top="0.75" bottom="0.75" header="0.3" footer="0.3"/>
  <x:tableParts count="1">
    <x:tablePart xmlns:r="http://schemas.openxmlformats.org/officeDocument/2006/relationships" r:id="R77ff2c0072e042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199999809265137" hidden="0" customWidth="1"/>
    <x:col min="2" max="2" width="12.880000114440918" hidden="0" customWidth="1"/>
    <x:col min="3" max="3" width="38.650001525878906" hidden="0" customWidth="1"/>
    <x:col min="4" max="4" width="11.039999961853027" hidden="0" customWidth="1"/>
    <x:col min="5" max="5" width="12.270000457763672" hidden="0" customWidth="1"/>
    <x:col min="6" max="6" width="9.819999694824219" hidden="0" customWidth="1"/>
    <x:col min="7" max="7" width="26.3799991607666" hidden="0" customWidth="1"/>
    <x:col min="8" max="8" width="28.829999923706055" hidden="0" customWidth="1"/>
  </x:cols>
  <x:sheetData>
    <x:row r="1">
      <x:c r="A1" s="100" t="str">
        <x:v>Week</x:v>
      </x:c>
      <x:c r="B1" s="101" t="str">
        <x:v>Theme</x:v>
      </x:c>
      <x:c r="C1" s="101" t="str">
        <x:v>Task</x:v>
      </x:c>
      <x:c r="D1" s="101" t="str">
        <x:v>Due date</x:v>
      </x:c>
      <x:c r="E1" s="101" t="str">
        <x:v>Status</x:v>
      </x:c>
      <x:c r="F1" s="101" t="str">
        <x:v>Priority</x:v>
      </x:c>
      <x:c r="G1" s="101" t="str">
        <x:v>Evidence / target file</x:v>
      </x:c>
      <x:c r="H1" s="102" t="str">
        <x:v>Notes</x:v>
      </x:c>
    </x:row>
    <x:row r="2" ht="34.5" customHeight="1">
      <x:c r="A2" s="48" t="str">
        <x:v>Week 1</x:v>
      </x:c>
      <x:c r="B2" s="49" t="str">
        <x:v>Calendar</x:v>
      </x:c>
      <x:c r="C2" s="49" t="str">
        <x:v>Create compliance calendar workbook</x:v>
      </x:c>
      <x:c r="D2" s="77" t="n">
        <x:v>46151</x:v>
      </x:c>
      <x:c r="E2" s="49" t="str">
        <x:v>Done</x:v>
      </x:c>
      <x:c r="F2" s="49" t="str">
        <x:v>Medium</x:v>
      </x:c>
      <x:c r="G2" s="49" t="str">
        <x:v>compliance_calendar.xlsx</x:v>
      </x:c>
      <x:c r="H2" s="50" t="str">
        <x:v>Artifact created in this session</x:v>
      </x:c>
    </x:row>
    <x:row r="3" ht="34.5" customHeight="1">
      <x:c r="A3" s="48" t="str">
        <x:v>Week 1</x:v>
      </x:c>
      <x:c r="B3" s="49" t="str">
        <x:v>Deadlines</x:v>
      </x:c>
      <x:c r="C3" s="49" t="str">
        <x:v>Note 4 statutory deadlines into Notion / personal calendar</x:v>
      </x:c>
      <x:c r="D3" s="77" t="n">
        <x:v>46152</x:v>
      </x:c>
      <x:c r="E3" s="49" t="str">
        <x:v>Not started</x:v>
      </x:c>
      <x:c r="F3" s="49" t="str">
        <x:v>High</x:v>
      </x:c>
      <x:c r="G3" s="49" t="str">
        <x:v>compliance_calendar.xlsx</x:v>
      </x:c>
      <x:c r="H3" s="50" t="str">
        <x:v>Mirror the same 4 dates from this workbook</x:v>
      </x:c>
    </x:row>
    <x:row r="4" ht="34.5" customHeight="1">
      <x:c r="A4" s="48" t="str">
        <x:v>Week 1</x:v>
      </x:c>
      <x:c r="B4" s="49" t="str">
        <x:v>Marketing</x:v>
      </x:c>
      <x:c r="C4" s="49" t="str">
        <x:v>Fix all Mức C public claims (`24 giờ`, `30-40%`, `high-signal`)</x:v>
      </x:c>
      <x:c r="D4" s="77" t="n">
        <x:v>46154</x:v>
      </x:c>
      <x:c r="E4" s="49" t="str">
        <x:v>Not started</x:v>
      </x:c>
      <x:c r="F4" s="49" t="str">
        <x:v>Critical</x:v>
      </x:c>
      <x:c r="G4" s="49" t="str">
        <x:v>1_marketing_claims_audit.md</x:v>
      </x:c>
      <x:c r="H4" s="50" t="str">
        <x:v>Do not publish new assets before this is done</x:v>
      </x:c>
    </x:row>
    <x:row r="5" ht="34.5" customHeight="1">
      <x:c r="A5" s="48" t="str">
        <x:v>Week 1</x:v>
      </x:c>
      <x:c r="B5" s="49" t="str">
        <x:v>Marketing</x:v>
      </x:c>
      <x:c r="C5" s="49" t="str">
        <x:v>Create founder sign-off marketing approval log</x:v>
      </x:c>
      <x:c r="D5" s="77" t="n">
        <x:v>46154</x:v>
      </x:c>
      <x:c r="E5" s="49" t="str">
        <x:v>Not started</x:v>
      </x:c>
      <x:c r="F5" s="49" t="str">
        <x:v>High</x:v>
      </x:c>
      <x:c r="G5" s="49" t="str">
        <x:v>3_document_trail.md</x:v>
      </x:c>
      <x:c r="H5" s="50" t="str">
        <x:v>Need one approval record per public asset</x:v>
      </x:c>
    </x:row>
    <x:row r="6" ht="34.5" customHeight="1">
      <x:c r="A6" s="48" t="str">
        <x:v>Week 2</x:v>
      </x:c>
      <x:c r="B6" s="49" t="str">
        <x:v>Data</x:v>
      </x:c>
      <x:c r="C6" s="49" t="str">
        <x:v>Draft DPIA / CTIA v0.1 for OpenAI / Langfuse path</x:v>
      </x:c>
      <x:c r="D6" s="77" t="n">
        <x:v>46157</x:v>
      </x:c>
      <x:c r="E6" s="49" t="str">
        <x:v>Not started</x:v>
      </x:c>
      <x:c r="F6" s="49" t="str">
        <x:v>Critical</x:v>
      </x:c>
      <x:c r="G6" s="49" t="str">
        <x:v>3_document_trail.md</x:v>
      </x:c>
      <x:c r="H6" s="50" t="str">
        <x:v>Top priority from document trail</x:v>
      </x:c>
    </x:row>
    <x:row r="7" ht="34.5" customHeight="1">
      <x:c r="A7" s="48" t="str">
        <x:v>Week 2</x:v>
      </x:c>
      <x:c r="B7" s="49" t="str">
        <x:v>Data</x:v>
      </x:c>
      <x:c r="C7" s="49" t="str">
        <x:v>Create parent consent + school pilot privacy appendix</x:v>
      </x:c>
      <x:c r="D7" s="77" t="n">
        <x:v>46157</x:v>
      </x:c>
      <x:c r="E7" s="49" t="str">
        <x:v>Not started</x:v>
      </x:c>
      <x:c r="F7" s="49" t="str">
        <x:v>Critical</x:v>
      </x:c>
      <x:c r="G7" s="49" t="str">
        <x:v>compliance_audit_v2.md</x:v>
      </x:c>
      <x:c r="H7" s="50" t="str">
        <x:v>Must cover child-data use for insight generation</x:v>
      </x:c>
    </x:row>
    <x:row r="8" ht="34.5" customHeight="1">
      <x:c r="A8" s="48" t="str">
        <x:v>Week 2</x:v>
      </x:c>
      <x:c r="B8" s="49" t="str">
        <x:v>Data</x:v>
      </x:c>
      <x:c r="C8" s="49" t="str">
        <x:v>Define withdrawal / deletion / retention workflow</x:v>
      </x:c>
      <x:c r="D8" s="77" t="n">
        <x:v>46157</x:v>
      </x:c>
      <x:c r="E8" s="49" t="str">
        <x:v>Not started</x:v>
      </x:c>
      <x:c r="F8" s="49" t="str">
        <x:v>Critical</x:v>
      </x:c>
      <x:c r="G8" s="49" t="str">
        <x:v>compliance_audit_v2.md</x:v>
      </x:c>
      <x:c r="H8" s="50" t="str">
        <x:v>Needed before first live parent send</x:v>
      </x:c>
    </x:row>
    <x:row r="9" ht="34.5" customHeight="1">
      <x:c r="A9" s="48" t="str">
        <x:v>Week 2</x:v>
      </x:c>
      <x:c r="B9" s="49" t="str">
        <x:v>Vendor</x:v>
      </x:c>
      <x:c r="C9" s="49" t="str">
        <x:v>Build vendor review sheet for OpenAI / Anthropic / Langfuse / telemetry vendors</x:v>
      </x:c>
      <x:c r="D9" s="77" t="n">
        <x:v>46157</x:v>
      </x:c>
      <x:c r="E9" s="49" t="str">
        <x:v>Not started</x:v>
      </x:c>
      <x:c r="F9" s="49" t="str">
        <x:v>High</x:v>
      </x:c>
      <x:c r="G9" s="49" t="str">
        <x:v>3_document_trail.md</x:v>
      </x:c>
      <x:c r="H9" s="50" t="str">
        <x:v>Create go / pause / stop log</x:v>
      </x:c>
    </x:row>
    <x:row r="10" ht="34.5" customHeight="1">
      <x:c r="A10" s="48" t="str">
        <x:v>Week 2</x:v>
      </x:c>
      <x:c r="B10" s="49" t="str">
        <x:v>AI Risk</x:v>
      </x:c>
      <x:c r="C10" s="49" t="str">
        <x:v>Write one-page high-risk education AI memo</x:v>
      </x:c>
      <x:c r="D10" s="77" t="n">
        <x:v>46158</x:v>
      </x:c>
      <x:c r="E10" s="49" t="str">
        <x:v>Not started</x:v>
      </x:c>
      <x:c r="F10" s="49" t="str">
        <x:v>High</x:v>
      </x:c>
      <x:c r="G10" s="49" t="str">
        <x:v>2_territorial_scope.md</x:v>
      </x:c>
      <x:c r="H10" s="50" t="str">
        <x:v>Why School Assistant is high-risk and what must be reviewed by a human</x:v>
      </x:c>
    </x:row>
    <x:row r="11" ht="34.5" customHeight="1">
      <x:c r="A11" s="48" t="str">
        <x:v>Week 2</x:v>
      </x:c>
      <x:c r="B11" s="49" t="str">
        <x:v>AI Risk</x:v>
      </x:c>
      <x:c r="C11" s="49" t="str">
        <x:v>Add manual review or template-only gate for negative / low-confidence insights</x:v>
      </x:c>
      <x:c r="D11" s="77" t="n">
        <x:v>46158</x:v>
      </x:c>
      <x:c r="E11" s="49" t="str">
        <x:v>Not started</x:v>
      </x:c>
      <x:c r="F11" s="49" t="str">
        <x:v>Critical</x:v>
      </x:c>
      <x:c r="G11" s="49" t="str">
        <x:v>compliance_audit_v2.md</x:v>
      </x:c>
      <x:c r="H11" s="50" t="str">
        <x:v>Do not rely on PRD wording alone</x:v>
      </x:c>
    </x:row>
    <x:row r="12" ht="34.5" customHeight="1">
      <x:c r="A12" s="48" t="str">
        <x:v>Week 3</x:v>
      </x:c>
      <x:c r="B12" s="49" t="str">
        <x:v>Monitoring</x:v>
      </x:c>
      <x:c r="C12" s="49" t="str">
        <x:v>Create abnormal insight &amp; escalation review log</x:v>
      </x:c>
      <x:c r="D12" s="77" t="n">
        <x:v>46159</x:v>
      </x:c>
      <x:c r="E12" s="49" t="str">
        <x:v>Not started</x:v>
      </x:c>
      <x:c r="F12" s="49" t="str">
        <x:v>High</x:v>
      </x:c>
      <x:c r="G12" s="49" t="str">
        <x:v>3_document_trail.md</x:v>
      </x:c>
      <x:c r="H12" s="50" t="str">
        <x:v>Operational version of Workshop 3 evidence log</x:v>
      </x:c>
    </x:row>
    <x:row r="13" ht="34.5" customHeight="1">
      <x:c r="A13" s="48" t="str">
        <x:v>Week 3</x:v>
      </x:c>
      <x:c r="B13" s="49" t="str">
        <x:v>Monitoring</x:v>
      </x:c>
      <x:c r="C13" s="49" t="str">
        <x:v>Establish weekly founder ritual to review 5 real insights</x:v>
      </x:c>
      <x:c r="D13" s="77" t="n">
        <x:v>46160</x:v>
      </x:c>
      <x:c r="E13" s="49" t="str">
        <x:v>Not started</x:v>
      </x:c>
      <x:c r="F13" s="49" t="str">
        <x:v>High</x:v>
      </x:c>
      <x:c r="G13" s="49" t="str">
        <x:v>1_rules_rails_ritual.md</x:v>
      </x:c>
      <x:c r="H13" s="50" t="str">
        <x:v>Parent Truth Friday</x:v>
      </x:c>
    </x:row>
    <x:row r="14" ht="34.5" customHeight="1">
      <x:c r="A14" s="48" t="str">
        <x:v>Week 3</x:v>
      </x:c>
      <x:c r="B14" s="49" t="str">
        <x:v>Compliance</x:v>
      </x:c>
      <x:c r="C14" s="49" t="str">
        <x:v>Re-run AI compliance audit after fixes</x:v>
      </x:c>
      <x:c r="D14" s="77" t="n">
        <x:v>46165</x:v>
      </x:c>
      <x:c r="E14" s="49" t="str">
        <x:v>Not started</x:v>
      </x:c>
      <x:c r="F14" s="49" t="str">
        <x:v>Medium</x:v>
      </x:c>
      <x:c r="G14" s="49" t="str">
        <x:v>compliance_audit_v2.md</x:v>
      </x:c>
      <x:c r="H14" s="50" t="str">
        <x:v>Use v2 as baseline</x:v>
      </x:c>
    </x:row>
    <x:row r="15" ht="34.5" customHeight="1">
      <x:c r="A15" s="48" t="str">
        <x:v>Week 4</x:v>
      </x:c>
      <x:c r="B15" s="49" t="str">
        <x:v>Legal</x:v>
      </x:c>
      <x:c r="C15" s="49" t="str">
        <x:v>External review with VN AI / PDPL counsel</x:v>
      </x:c>
      <x:c r="D15" s="77" t="n">
        <x:v>46178</x:v>
      </x:c>
      <x:c r="E15" s="49" t="str">
        <x:v>Not started</x:v>
      </x:c>
      <x:c r="F15" s="49" t="str">
        <x:v>High</x:v>
      </x:c>
      <x:c r="G15" s="49" t="str">
        <x:v>All Day 22 files</x:v>
      </x:c>
      <x:c r="H15" s="50" t="str">
        <x:v>Short legal sanity check before pilot expands</x:v>
      </x:c>
    </x:row>
    <x:row r="16" ht="34.5" customHeight="1">
      <x:c r="A16" s="51" t="str">
        <x:v>Week 4</x:v>
      </x:c>
      <x:c r="B16" s="52" t="str">
        <x:v>Governance</x:v>
      </x:c>
      <x:c r="C16" s="52" t="str">
        <x:v>Schedule quarterly compliance review</x:v>
      </x:c>
      <x:c r="D16" s="78" t="n">
        <x:v>46178</x:v>
      </x:c>
      <x:c r="E16" s="52" t="str">
        <x:v>Not started</x:v>
      </x:c>
      <x:c r="F16" s="52" t="str">
        <x:v>Medium</x:v>
      </x:c>
      <x:c r="G16" s="52" t="str">
        <x:v>compliance_calendar.xlsx</x:v>
      </x:c>
      <x:c r="H16" s="53" t="str">
        <x:v>Recurring founder review</x:v>
      </x:c>
    </x:row>
  </x:sheetData>
  <x:dataValidations count="2">
    <x:dataValidation type="list" allowBlank="1" showDropDown="0" sqref="E2:E40">
      <x:formula1>"Not started,In progress,Done,Blocked"</x:formula1>
    </x:dataValidation>
    <x:dataValidation type="list" allowBlank="1" showDropDown="0" sqref="F2:F4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c9159126734aa9"/>
  </x:tableParts>
</x:worksheet>
</file>